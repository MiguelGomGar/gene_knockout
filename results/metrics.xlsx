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Mi unidad\Deep Learning\gene_knockout\results\"/>
    </mc:Choice>
  </mc:AlternateContent>
  <xr:revisionPtr revIDLastSave="0" documentId="13_ncr:1_{DCAFE9A2-BE2C-46B3-997B-91B21B3EE5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plitting mode (baseline)" sheetId="1" r:id="rId1"/>
    <sheet name="Learning rate (original MLP)" sheetId="2" r:id="rId2"/>
    <sheet name="Dim reduct (original MLP)" sheetId="3" r:id="rId3"/>
    <sheet name="Loss function (original MLP)" sheetId="4" r:id="rId4"/>
    <sheet name="Modifications (SkipCon MLP)" sheetId="5" r:id="rId5"/>
    <sheet name="Crossed cell lin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2" i="2"/>
  <c r="A4" i="2"/>
</calcChain>
</file>

<file path=xl/sharedStrings.xml><?xml version="1.0" encoding="utf-8"?>
<sst xmlns="http://schemas.openxmlformats.org/spreadsheetml/2006/main" count="33" uniqueCount="18">
  <si>
    <t>MSE</t>
  </si>
  <si>
    <t>Gene variance score</t>
  </si>
  <si>
    <t>Splitting mode</t>
  </si>
  <si>
    <t>random</t>
  </si>
  <si>
    <t>unseen interventions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</si>
  <si>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</si>
  <si>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Top n genes</t>
  </si>
  <si>
    <t>MSE loss</t>
  </si>
  <si>
    <t>Loss Function</t>
  </si>
  <si>
    <t>Custom Variance</t>
  </si>
  <si>
    <t>New implementation</t>
  </si>
  <si>
    <t>Batch Normalization</t>
  </si>
  <si>
    <t>Batch Normalization and Skip Connection</t>
  </si>
  <si>
    <t>LR</t>
  </si>
  <si>
    <t>Skip Connection</t>
  </si>
  <si>
    <t>Training cell line</t>
  </si>
  <si>
    <t>PC3</t>
  </si>
  <si>
    <t>A549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</si>
</sst>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E+00"/>
    <numFmt numFmtId="166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3" sqref="A1:D3"/>
    </sheetView>
  </sheetViews>
  <sheetFormatPr baseColWidth="10" defaultColWidth="12.6328125" defaultRowHeight="14.5" x14ac:dyDescent="0.35"/>
  <cols>
    <col min="1" max="1" width="18.453125" bestFit="1" customWidth="1"/>
    <col min="4" max="4" width="17.6328125" bestFit="1" customWidth="1"/>
  </cols>
  <sheetData>
    <row r="1" spans="1:7" ht="16.5" x14ac:dyDescent="0.35">
      <c r="A1" s="6" t="s">
        <v>2</v>
      </c>
      <c r="B1" s="6" t="s">
        <v>0</v>
      </c>
      <c r="C1" s="6" t="s">
        <v>5</v>
      </c>
      <c r="D1" s="6" t="s">
        <v>1</v>
      </c>
    </row>
    <row r="2" spans="1:7" x14ac:dyDescent="0.35">
      <c r="A2" s="8" t="s">
        <v>3</v>
      </c>
      <c r="B2" s="9">
        <v>6.5449999999999994E-2</v>
      </c>
      <c r="C2" s="9">
        <v>0.79879</v>
      </c>
      <c r="D2" s="10">
        <v>9.5640000000000003E-2</v>
      </c>
    </row>
    <row r="3" spans="1:7" x14ac:dyDescent="0.35">
      <c r="A3" t="s">
        <v>4</v>
      </c>
      <c r="B3" s="1">
        <v>8.4000000000000005E-2</v>
      </c>
      <c r="C3" s="1">
        <v>0.747</v>
      </c>
      <c r="D3" s="1">
        <v>0.34399999999999997</v>
      </c>
    </row>
    <row r="10" spans="1:7" x14ac:dyDescent="0.35">
      <c r="G10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AFF3-2807-403D-9C7A-F34704BB7D03}">
  <dimension ref="A1:D4"/>
  <sheetViews>
    <sheetView workbookViewId="0">
      <selection activeCell="D4" sqref="A1:D4"/>
    </sheetView>
  </sheetViews>
  <sheetFormatPr baseColWidth="10" defaultRowHeight="14.5" x14ac:dyDescent="0.35"/>
  <cols>
    <col min="1" max="1" width="5.453125" bestFit="1" customWidth="1"/>
    <col min="4" max="4" width="17.6328125" bestFit="1" customWidth="1"/>
  </cols>
  <sheetData>
    <row r="1" spans="1:4" ht="16.5" x14ac:dyDescent="0.35">
      <c r="A1" s="2" t="s">
        <v>13</v>
      </c>
      <c r="B1" s="2" t="s">
        <v>0</v>
      </c>
      <c r="C1" s="2" t="s">
        <v>5</v>
      </c>
      <c r="D1" s="2" t="s">
        <v>1</v>
      </c>
    </row>
    <row r="2" spans="1:4" x14ac:dyDescent="0.35">
      <c r="A2" s="3">
        <f>0.0001</f>
        <v>1E-4</v>
      </c>
      <c r="B2" s="4">
        <v>6.5009999999999998E-2</v>
      </c>
      <c r="C2" s="4">
        <v>0.80237999999999998</v>
      </c>
      <c r="D2" s="4">
        <v>3.9539999999999999E-2</v>
      </c>
    </row>
    <row r="3" spans="1:4" x14ac:dyDescent="0.35">
      <c r="A3" s="11">
        <f>0.00001</f>
        <v>1.0000000000000001E-5</v>
      </c>
      <c r="B3" s="12">
        <v>6.7549999999999999E-2</v>
      </c>
      <c r="C3" s="12">
        <v>0.80034000000000005</v>
      </c>
      <c r="D3" s="13">
        <v>8.2530000000000006E-2</v>
      </c>
    </row>
    <row r="4" spans="1:4" x14ac:dyDescent="0.35">
      <c r="A4" s="3">
        <f>10^-6</f>
        <v>9.9999999999999995E-7</v>
      </c>
      <c r="B4" s="4">
        <v>7.2529999999999997E-2</v>
      </c>
      <c r="C4" s="4">
        <v>0.79610000000000003</v>
      </c>
      <c r="D4" s="4">
        <v>0.11477999999999999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D14B-040C-426A-BC52-99111802340F}">
  <dimension ref="A1:G7"/>
  <sheetViews>
    <sheetView workbookViewId="0">
      <selection activeCell="D6" sqref="A1:D6"/>
    </sheetView>
  </sheetViews>
  <sheetFormatPr baseColWidth="10" defaultRowHeight="14.5" x14ac:dyDescent="0.35"/>
  <cols>
    <col min="1" max="1" width="11.81640625" bestFit="1" customWidth="1"/>
    <col min="4" max="4" width="17.6328125" bestFit="1" customWidth="1"/>
  </cols>
  <sheetData>
    <row r="1" spans="1:7" ht="16.5" x14ac:dyDescent="0.35">
      <c r="A1" s="2" t="s">
        <v>6</v>
      </c>
      <c r="B1" s="2" t="s">
        <v>0</v>
      </c>
      <c r="C1" s="2" t="s">
        <v>5</v>
      </c>
      <c r="D1" s="2" t="s">
        <v>1</v>
      </c>
    </row>
    <row r="2" spans="1:7" x14ac:dyDescent="0.35">
      <c r="A2" s="5">
        <v>1000</v>
      </c>
      <c r="B2" s="1">
        <v>6.7549999999999999E-2</v>
      </c>
      <c r="C2" s="1">
        <v>0.80034000000000005</v>
      </c>
      <c r="D2" s="1">
        <v>8.2530000000000006E-2</v>
      </c>
    </row>
    <row r="3" spans="1:7" x14ac:dyDescent="0.35">
      <c r="A3" s="5">
        <v>2000</v>
      </c>
      <c r="B3" s="1">
        <v>4.6219999999999997E-2</v>
      </c>
      <c r="C3" s="1">
        <v>0.82648999999999995</v>
      </c>
      <c r="D3" s="1">
        <v>8.1559999999999994E-2</v>
      </c>
    </row>
    <row r="4" spans="1:7" x14ac:dyDescent="0.35">
      <c r="A4" s="15">
        <v>3000</v>
      </c>
      <c r="B4" s="9">
        <v>3.6769999999999997E-2</v>
      </c>
      <c r="C4" s="9">
        <v>0.84540000000000004</v>
      </c>
      <c r="D4" s="10">
        <v>9.4200000000000006E-2</v>
      </c>
    </row>
    <row r="5" spans="1:7" x14ac:dyDescent="0.35">
      <c r="A5" s="5">
        <v>4000</v>
      </c>
      <c r="B5" s="1">
        <v>3.0769999999999999E-2</v>
      </c>
      <c r="C5" s="1">
        <v>0.86038999999999999</v>
      </c>
      <c r="D5" s="1">
        <v>7.8369999999999995E-2</v>
      </c>
    </row>
    <row r="6" spans="1:7" x14ac:dyDescent="0.35">
      <c r="A6" s="5">
        <v>5000</v>
      </c>
      <c r="B6" s="1">
        <v>2.691E-2</v>
      </c>
      <c r="C6" s="1">
        <v>0.87009999999999998</v>
      </c>
      <c r="D6" s="1">
        <v>7.4310000000000001E-2</v>
      </c>
      <c r="G6" s="7"/>
    </row>
    <row r="7" spans="1:7" x14ac:dyDescent="0.35">
      <c r="A7" s="5"/>
      <c r="B7" s="5"/>
      <c r="C7" s="5"/>
      <c r="D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0EB4-8834-416F-A3BE-6932FAF89A7C}">
  <dimension ref="A1:D3"/>
  <sheetViews>
    <sheetView workbookViewId="0">
      <selection activeCell="D15" sqref="D15"/>
    </sheetView>
  </sheetViews>
  <sheetFormatPr baseColWidth="10" defaultRowHeight="14.5" x14ac:dyDescent="0.35"/>
  <cols>
    <col min="1" max="1" width="19.26953125" bestFit="1" customWidth="1"/>
    <col min="4" max="4" width="17.6328125" bestFit="1" customWidth="1"/>
  </cols>
  <sheetData>
    <row r="1" spans="1:4" ht="16.5" x14ac:dyDescent="0.35">
      <c r="A1" s="2" t="s">
        <v>8</v>
      </c>
      <c r="B1" s="2" t="s">
        <v>0</v>
      </c>
      <c r="C1" s="2" t="s">
        <v>5</v>
      </c>
      <c r="D1" s="2" t="s">
        <v>1</v>
      </c>
    </row>
    <row r="2" spans="1:4" x14ac:dyDescent="0.35">
      <c r="A2" t="s">
        <v>7</v>
      </c>
      <c r="B2" s="1">
        <v>3.6769999999999997E-2</v>
      </c>
      <c r="C2" s="1">
        <v>0.84540000000000004</v>
      </c>
      <c r="D2" s="1">
        <v>9.4200000000000006E-2</v>
      </c>
    </row>
    <row r="3" spans="1:4" x14ac:dyDescent="0.35">
      <c r="A3" t="s">
        <v>9</v>
      </c>
      <c r="B3" s="1">
        <v>4.1680000000000002E-2</v>
      </c>
      <c r="C3" s="1">
        <v>0.83872000000000002</v>
      </c>
      <c r="D3" s="1">
        <v>4.9070000000000003E-2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9B29-DB5A-4E14-AD0F-5FC6BDE0A577}">
  <dimension ref="A1:D5"/>
  <sheetViews>
    <sheetView workbookViewId="0">
      <selection activeCell="D4" sqref="A1:D4"/>
    </sheetView>
  </sheetViews>
  <sheetFormatPr baseColWidth="10" defaultRowHeight="14.5" x14ac:dyDescent="0.35"/>
  <cols>
    <col min="1" max="1" width="35.36328125" bestFit="1" customWidth="1"/>
    <col min="4" max="4" width="17.6328125" bestFit="1" customWidth="1"/>
  </cols>
  <sheetData>
    <row r="1" spans="1:4" ht="16.5" x14ac:dyDescent="0.35">
      <c r="A1" s="2" t="s">
        <v>10</v>
      </c>
      <c r="B1" s="2" t="s">
        <v>0</v>
      </c>
      <c r="C1" s="2" t="s">
        <v>5</v>
      </c>
      <c r="D1" s="2" t="s">
        <v>1</v>
      </c>
    </row>
    <row r="2" spans="1:4" x14ac:dyDescent="0.35">
      <c r="A2" t="s">
        <v>11</v>
      </c>
      <c r="B2" s="1">
        <v>5.9110000000000003E-2</v>
      </c>
      <c r="C2" s="1">
        <v>0.80242999999999998</v>
      </c>
      <c r="D2" s="1">
        <v>0.54110000000000003</v>
      </c>
    </row>
    <row r="3" spans="1:4" x14ac:dyDescent="0.35">
      <c r="A3" t="s">
        <v>14</v>
      </c>
      <c r="B3" s="1">
        <v>5.3449999999999998E-2</v>
      </c>
      <c r="C3" s="1">
        <v>0.77468000000000004</v>
      </c>
      <c r="D3" s="1">
        <v>0.68184999999999996</v>
      </c>
    </row>
    <row r="4" spans="1:4" x14ac:dyDescent="0.35">
      <c r="A4" s="8" t="s">
        <v>12</v>
      </c>
      <c r="B4" s="9">
        <v>5.3769999999999998E-2</v>
      </c>
      <c r="C4" s="9">
        <v>0.77449000000000001</v>
      </c>
      <c r="D4" s="10">
        <v>0.68911999999999995</v>
      </c>
    </row>
    <row r="5" spans="1:4" x14ac:dyDescent="0.35">
      <c r="B5" s="1"/>
      <c r="C5" s="1"/>
      <c r="D5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EB83-414B-4A02-BD14-53E6DE23239A}">
  <dimension ref="A1:E8"/>
  <sheetViews>
    <sheetView workbookViewId="0">
      <selection activeCell="G10" sqref="G10"/>
    </sheetView>
  </sheetViews>
  <sheetFormatPr baseColWidth="10" defaultRowHeight="14.5" x14ac:dyDescent="0.35"/>
  <cols>
    <col min="1" max="1" width="35.36328125" bestFit="1" customWidth="1"/>
    <col min="4" max="4" width="17.6328125" bestFit="1" customWidth="1"/>
  </cols>
  <sheetData>
    <row r="1" spans="1:5" ht="16.5" x14ac:dyDescent="0.35">
      <c r="A1" s="6" t="s">
        <v>15</v>
      </c>
      <c r="B1" s="6" t="s">
        <v>0</v>
      </c>
      <c r="C1" s="6" t="s">
        <v>5</v>
      </c>
      <c r="D1" s="6" t="s">
        <v>1</v>
      </c>
    </row>
    <row r="2" spans="1:5" x14ac:dyDescent="0.35">
      <c r="A2" s="8" t="s">
        <v>16</v>
      </c>
      <c r="B2" s="9">
        <v>8.4510000000000002E-2</v>
      </c>
      <c r="C2" s="9">
        <v>0.69340999999999997</v>
      </c>
      <c r="D2" s="10">
        <v>0.74353000000000002</v>
      </c>
    </row>
    <row r="3" spans="1:5" x14ac:dyDescent="0.35">
      <c r="A3" t="s">
        <v>17</v>
      </c>
      <c r="B3" s="1">
        <v>0.12137000000000001</v>
      </c>
      <c r="C3" s="1">
        <v>0.60067999999999999</v>
      </c>
      <c r="D3" s="1">
        <v>0.52956999999999999</v>
      </c>
    </row>
    <row r="4" spans="1:5" x14ac:dyDescent="0.35">
      <c r="A4" s="16"/>
      <c r="B4" s="14"/>
      <c r="C4" s="14"/>
      <c r="D4" s="14"/>
    </row>
    <row r="5" spans="1:5" x14ac:dyDescent="0.35">
      <c r="B5" s="1"/>
      <c r="C5" s="1"/>
      <c r="D5" s="1"/>
    </row>
    <row r="8" spans="1:5" x14ac:dyDescent="0.35">
      <c r="E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Splitting mode (baseline)</vt:lpstr>
      <vt:lpstr>Learning rate (original MLP)</vt:lpstr>
      <vt:lpstr>Dim reduct (original MLP)</vt:lpstr>
      <vt:lpstr>Loss function (original MLP)</vt:lpstr>
      <vt:lpstr>Modifications (SkipCon MLP)</vt:lpstr>
      <vt:lpstr>Crossed cell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Gómez García</cp:lastModifiedBy>
  <dcterms:created xsi:type="dcterms:W3CDTF">2015-06-05T18:19:34Z</dcterms:created>
  <dcterms:modified xsi:type="dcterms:W3CDTF">2026-05-13T21:58:20Z</dcterms:modified>
</cp:coreProperties>
</file>