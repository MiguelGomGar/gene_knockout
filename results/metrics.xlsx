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:\Mi unidad\Deep Learning\gene_knockout\results\"/>
    </mc:Choice>
  </mc:AlternateContent>
  <xr:revisionPtr revIDLastSave="0" documentId="13_ncr:1_{AABC1D10-735D-4D54-9BCA-441395139E14}" xr6:coauthVersionLast="47" xr6:coauthVersionMax="47" xr10:uidLastSave="{00000000-0000-0000-0000-000000000000}"/>
  <bookViews>
    <workbookView xWindow="-110" yWindow="-110" windowWidth="19420" windowHeight="11020" firstSheet="3" activeTab="4" xr2:uid="{00000000-000D-0000-FFFF-FFFF00000000}"/>
  </bookViews>
  <sheets>
    <sheet name="Splitting mode (baseline)" sheetId="1" r:id="rId1"/>
    <sheet name="Learning rate (original MLP)" sheetId="2" r:id="rId2"/>
    <sheet name="Dim reduct (original MLP)" sheetId="3" r:id="rId3"/>
    <sheet name="Loss function (original MLP)" sheetId="4" r:id="rId4"/>
    <sheet name="Modifications (SkipCon MLP)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3" i="2"/>
  <c r="A2" i="2"/>
</calcChain>
</file>

<file path=xl/sharedStrings.xml><?xml version="1.0" encoding="utf-8"?>
<sst xmlns="http://schemas.openxmlformats.org/spreadsheetml/2006/main" count="28" uniqueCount="16">
  <si>
    <t>MSE</t>
  </si>
  <si>
    <t>Gene variance score</t>
  </si>
  <si>
    <t>Splitting mode</t>
  </si>
  <si>
    <t>random</t>
  </si>
  <si>
    <t>unseen interventions</t>
  </si>
  <si>
    <r>
      <t>R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</si>
  <si>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t>Learning rate</t>
  </si>
  <si>
    <t>Top n genes</t>
  </si>
  <si>
    <t>MSE loss</t>
  </si>
  <si>
    <t>Loss Function</t>
  </si>
  <si>
    <t>Custom Variance</t>
  </si>
  <si>
    <t>New implementation</t>
  </si>
  <si>
    <t>Batch Normalization</t>
  </si>
  <si>
    <t>Skip connection</t>
  </si>
  <si>
    <t>BN + SC</t>
  </si>
  <si>
    <t>Crossed-cell 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</si>
</sst>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E+00"/>
    <numFmt numFmtId="166" formatCode="0.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3" sqref="D3"/>
    </sheetView>
  </sheetViews>
  <sheetFormatPr baseColWidth="10" defaultColWidth="12.6328125" defaultRowHeight="14.5" x14ac:dyDescent="0.35"/>
  <cols>
    <col min="1" max="1" width="18.453125" bestFit="1" customWidth="1"/>
    <col min="4" max="4" width="17.6328125" bestFit="1" customWidth="1"/>
  </cols>
  <sheetData>
    <row r="1" spans="1:4" ht="16.5" x14ac:dyDescent="0.35">
      <c r="A1" s="2" t="s">
        <v>2</v>
      </c>
      <c r="B1" s="2" t="s">
        <v>0</v>
      </c>
      <c r="C1" s="2" t="s">
        <v>5</v>
      </c>
      <c r="D1" s="2" t="s">
        <v>1</v>
      </c>
    </row>
    <row r="2" spans="1:4" x14ac:dyDescent="0.35">
      <c r="A2" t="s">
        <v>3</v>
      </c>
      <c r="B2" s="1">
        <v>6.5449999999999994E-2</v>
      </c>
      <c r="C2" s="1">
        <v>0.79879</v>
      </c>
      <c r="D2" s="1">
        <v>9.5640000000000003E-2</v>
      </c>
    </row>
    <row r="3" spans="1:4" x14ac:dyDescent="0.35">
      <c r="A3" t="s">
        <v>4</v>
      </c>
      <c r="B3" s="1">
        <v>8.4000000000000005E-2</v>
      </c>
      <c r="C3" s="1">
        <v>0.747</v>
      </c>
      <c r="D3" s="1">
        <v>0.34399999999999997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AFF3-2807-403D-9C7A-F34704BB7D03}">
  <dimension ref="A1:D4"/>
  <sheetViews>
    <sheetView workbookViewId="0">
      <selection sqref="A1:D1"/>
    </sheetView>
  </sheetViews>
  <sheetFormatPr baseColWidth="10" defaultRowHeight="14.5" x14ac:dyDescent="0.35"/>
  <cols>
    <col min="1" max="1" width="12.90625" bestFit="1" customWidth="1"/>
    <col min="4" max="4" width="17.6328125" bestFit="1" customWidth="1"/>
  </cols>
  <sheetData>
    <row r="1" spans="1:4" ht="16.5" x14ac:dyDescent="0.35">
      <c r="A1" s="2" t="s">
        <v>6</v>
      </c>
      <c r="B1" s="2" t="s">
        <v>0</v>
      </c>
      <c r="C1" s="2" t="s">
        <v>5</v>
      </c>
      <c r="D1" s="2" t="s">
        <v>1</v>
      </c>
    </row>
    <row r="2" spans="1:4" x14ac:dyDescent="0.35">
      <c r="A2" s="3">
        <f>0.001</f>
        <v>1E-3</v>
      </c>
      <c r="B2" s="4">
        <v>6.5009999999999998E-2</v>
      </c>
      <c r="C2" s="4">
        <v>0.80237999999999998</v>
      </c>
      <c r="D2" s="4">
        <v>3.9539999999999999E-2</v>
      </c>
    </row>
    <row r="3" spans="1:4" x14ac:dyDescent="0.35">
      <c r="A3" s="3">
        <f>0.0001</f>
        <v>1E-4</v>
      </c>
      <c r="B3" s="4">
        <v>6.7549999999999999E-2</v>
      </c>
      <c r="C3" s="4">
        <v>0.80034000000000005</v>
      </c>
      <c r="D3" s="4">
        <v>8.2530000000000006E-2</v>
      </c>
    </row>
    <row r="4" spans="1:4" x14ac:dyDescent="0.35">
      <c r="A4" s="3">
        <f>10^-6</f>
        <v>9.9999999999999995E-7</v>
      </c>
      <c r="B4" s="4">
        <v>7.2529999999999997E-2</v>
      </c>
      <c r="C4" s="4">
        <v>0.79610000000000003</v>
      </c>
      <c r="D4" s="4">
        <v>0.11477999999999999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FD14B-040C-426A-BC52-99111802340F}">
  <dimension ref="A1:D7"/>
  <sheetViews>
    <sheetView workbookViewId="0">
      <selection sqref="A1:D1"/>
    </sheetView>
  </sheetViews>
  <sheetFormatPr baseColWidth="10" defaultRowHeight="14.5" x14ac:dyDescent="0.35"/>
  <cols>
    <col min="1" max="1" width="11.81640625" bestFit="1" customWidth="1"/>
    <col min="4" max="4" width="17.6328125" bestFit="1" customWidth="1"/>
  </cols>
  <sheetData>
    <row r="1" spans="1:4" ht="16.5" x14ac:dyDescent="0.35">
      <c r="A1" s="2" t="s">
        <v>7</v>
      </c>
      <c r="B1" s="2" t="s">
        <v>0</v>
      </c>
      <c r="C1" s="2" t="s">
        <v>5</v>
      </c>
      <c r="D1" s="2" t="s">
        <v>1</v>
      </c>
    </row>
    <row r="2" spans="1:4" x14ac:dyDescent="0.35">
      <c r="A2" s="5">
        <v>1000</v>
      </c>
      <c r="B2" s="1">
        <v>6.7549999999999999E-2</v>
      </c>
      <c r="C2" s="1">
        <v>0.80034000000000005</v>
      </c>
      <c r="D2" s="1">
        <v>8.2530000000000006E-2</v>
      </c>
    </row>
    <row r="3" spans="1:4" x14ac:dyDescent="0.35">
      <c r="A3" s="5">
        <v>2000</v>
      </c>
      <c r="B3" s="1">
        <v>4.6219999999999997E-2</v>
      </c>
      <c r="C3" s="1">
        <v>0.82648999999999995</v>
      </c>
      <c r="D3" s="1">
        <v>8.1559999999999994E-2</v>
      </c>
    </row>
    <row r="4" spans="1:4" x14ac:dyDescent="0.35">
      <c r="A4" s="5">
        <v>3000</v>
      </c>
      <c r="B4" s="1">
        <v>3.6769999999999997E-2</v>
      </c>
      <c r="C4" s="1">
        <v>0.84540000000000004</v>
      </c>
      <c r="D4" s="1">
        <v>9.4200000000000006E-2</v>
      </c>
    </row>
    <row r="5" spans="1:4" x14ac:dyDescent="0.35">
      <c r="A5" s="5">
        <v>4000</v>
      </c>
      <c r="B5" s="1">
        <v>3.0769999999999999E-2</v>
      </c>
      <c r="C5" s="1">
        <v>0.86038999999999999</v>
      </c>
      <c r="D5" s="1">
        <v>7.8369999999999995E-2</v>
      </c>
    </row>
    <row r="6" spans="1:4" x14ac:dyDescent="0.35">
      <c r="A6" s="5">
        <v>5000</v>
      </c>
      <c r="B6" s="1">
        <v>2.691E-2</v>
      </c>
      <c r="C6" s="1">
        <v>0.87009999999999998</v>
      </c>
      <c r="D6" s="1">
        <v>7.4310000000000001E-2</v>
      </c>
    </row>
    <row r="7" spans="1:4" x14ac:dyDescent="0.35">
      <c r="A7" s="5"/>
      <c r="B7" s="5"/>
      <c r="C7" s="5"/>
      <c r="D7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0EB4-8834-416F-A3BE-6932FAF89A7C}">
  <dimension ref="A1:D3"/>
  <sheetViews>
    <sheetView workbookViewId="0">
      <selection activeCell="B1" sqref="B1:D1"/>
    </sheetView>
  </sheetViews>
  <sheetFormatPr baseColWidth="10" defaultRowHeight="14.5" x14ac:dyDescent="0.35"/>
  <cols>
    <col min="1" max="1" width="19.26953125" bestFit="1" customWidth="1"/>
    <col min="4" max="4" width="17.6328125" bestFit="1" customWidth="1"/>
  </cols>
  <sheetData>
    <row r="1" spans="1:4" ht="16.5" x14ac:dyDescent="0.35">
      <c r="A1" s="2" t="s">
        <v>9</v>
      </c>
      <c r="B1" s="2" t="s">
        <v>0</v>
      </c>
      <c r="C1" s="2" t="s">
        <v>5</v>
      </c>
      <c r="D1" s="2" t="s">
        <v>1</v>
      </c>
    </row>
    <row r="2" spans="1:4" x14ac:dyDescent="0.35">
      <c r="A2" t="s">
        <v>8</v>
      </c>
      <c r="B2" s="1">
        <v>3.6769999999999997E-2</v>
      </c>
      <c r="C2" s="1">
        <v>0.84540000000000004</v>
      </c>
      <c r="D2" s="1">
        <v>9.4200000000000006E-2</v>
      </c>
    </row>
    <row r="3" spans="1:4" x14ac:dyDescent="0.35">
      <c r="A3" t="s">
        <v>10</v>
      </c>
      <c r="B3" s="1">
        <v>4.1680000000000002E-2</v>
      </c>
      <c r="C3" s="1">
        <v>0.83872000000000002</v>
      </c>
      <c r="D3" s="1">
        <v>4.9070000000000003E-2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59B29-DB5A-4E14-AD0F-5FC6BDE0A577}">
  <dimension ref="A1:D5"/>
  <sheetViews>
    <sheetView tabSelected="1" workbookViewId="0">
      <selection activeCell="A5" sqref="A5:D5"/>
    </sheetView>
  </sheetViews>
  <sheetFormatPr baseColWidth="10" defaultRowHeight="14.5" x14ac:dyDescent="0.35"/>
  <cols>
    <col min="1" max="1" width="18.54296875" bestFit="1" customWidth="1"/>
    <col min="4" max="4" width="17.6328125" bestFit="1" customWidth="1"/>
  </cols>
  <sheetData>
    <row r="1" spans="1:4" ht="16.5" x14ac:dyDescent="0.35">
      <c r="A1" s="2" t="s">
        <v>11</v>
      </c>
      <c r="B1" s="2" t="s">
        <v>0</v>
      </c>
      <c r="C1" s="2" t="s">
        <v>5</v>
      </c>
      <c r="D1" s="2" t="s">
        <v>1</v>
      </c>
    </row>
    <row r="2" spans="1:4" x14ac:dyDescent="0.35">
      <c r="A2" t="s">
        <v>12</v>
      </c>
      <c r="B2" s="1">
        <v>5.9110000000000003E-2</v>
      </c>
      <c r="C2" s="1">
        <v>0.80242999999999998</v>
      </c>
      <c r="D2" s="1">
        <v>0.54110000000000003</v>
      </c>
    </row>
    <row r="3" spans="1:4" x14ac:dyDescent="0.35">
      <c r="A3" t="s">
        <v>13</v>
      </c>
      <c r="B3" s="1">
        <v>5.3449999999999998E-2</v>
      </c>
      <c r="C3" s="1">
        <v>0.77468000000000004</v>
      </c>
      <c r="D3" s="1">
        <v>0.68184999999999996</v>
      </c>
    </row>
    <row r="4" spans="1:4" x14ac:dyDescent="0.35">
      <c r="A4" t="s">
        <v>14</v>
      </c>
      <c r="B4" s="1">
        <v>5.3769999999999998E-2</v>
      </c>
      <c r="C4" s="1">
        <v>0.77449000000000001</v>
      </c>
      <c r="D4" s="1">
        <v>0.68911999999999995</v>
      </c>
    </row>
    <row r="5" spans="1:4" x14ac:dyDescent="0.35">
      <c r="A5" t="s">
        <v>15</v>
      </c>
      <c r="B5" s="1">
        <v>0.11743000000000001</v>
      </c>
      <c r="C5" s="1">
        <v>0.63253000000000004</v>
      </c>
      <c r="D5" s="1">
        <v>0.53222000000000003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Splitting mode (baseline)</vt:lpstr>
      <vt:lpstr>Learning rate (original MLP)</vt:lpstr>
      <vt:lpstr>Dim reduct (original MLP)</vt:lpstr>
      <vt:lpstr>Loss function (original MLP)</vt:lpstr>
      <vt:lpstr>Modifications (SkipCon MLP)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</dc:creator>
  <cp:lastModifiedBy>Miguel Gómez García</cp:lastModifiedBy>
  <dcterms:created xsi:type="dcterms:W3CDTF">2015-06-05T18:19:34Z</dcterms:created>
  <dcterms:modified xsi:type="dcterms:W3CDTF">2026-05-12T17:53:17Z</dcterms:modified>
</cp:coreProperties>
</file>